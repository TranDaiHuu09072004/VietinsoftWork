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X:\"/>
    </mc:Choice>
  </mc:AlternateContent>
  <xr:revisionPtr revIDLastSave="0" documentId="13_ncr:1_{178E8EF9-5629-4DAE-A1AD-36394366FB2B}" xr6:coauthVersionLast="36" xr6:coauthVersionMax="36" xr10:uidLastSave="{00000000-0000-0000-0000-000000000000}"/>
  <bookViews>
    <workbookView xWindow="0" yWindow="0" windowWidth="15360" windowHeight="7425" xr2:uid="{D74FB8B0-9E3E-4E32-B6D0-9B930B53A0DF}"/>
  </bookViews>
  <sheets>
    <sheet name="Sheet1" sheetId="1" r:id="rId1"/>
    <sheet name="Sheet3" sheetId="4" r:id="rId2"/>
    <sheet name="Sheet4" sheetId="5" r:id="rId3"/>
    <sheet name="Sheet2" sheetId="3" r:id="rId4"/>
    <sheet name="tblSalaryHistory" sheetId="2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7" i="1" l="1"/>
  <c r="C32" i="1"/>
  <c r="R17" i="1" l="1"/>
  <c r="R18" i="1"/>
  <c r="R16" i="1"/>
  <c r="M17" i="1" l="1"/>
  <c r="M18" i="1"/>
  <c r="M16" i="1"/>
  <c r="C68" i="1" l="1"/>
  <c r="C57" i="1"/>
  <c r="C53" i="1"/>
  <c r="C51" i="1"/>
  <c r="C48" i="1"/>
  <c r="C47" i="1"/>
  <c r="G4" i="1"/>
  <c r="C46" i="1" s="1"/>
  <c r="E32" i="1"/>
  <c r="D35" i="1"/>
  <c r="C27" i="1"/>
  <c r="C39" i="1"/>
  <c r="C38" i="1"/>
  <c r="G2" i="1"/>
  <c r="D34" i="1" s="1"/>
  <c r="C30" i="1"/>
  <c r="C29" i="1"/>
  <c r="C28" i="1"/>
  <c r="E34" i="1" l="1"/>
  <c r="C52" i="1"/>
  <c r="E33" i="1"/>
  <c r="E35" i="1"/>
  <c r="C33" i="1"/>
  <c r="D32" i="1"/>
  <c r="C43" i="1" s="1"/>
  <c r="C63" i="1" s="1"/>
  <c r="C64" i="1" s="1"/>
  <c r="C34" i="1"/>
  <c r="D33" i="1"/>
  <c r="C35" i="1"/>
  <c r="D30" i="1"/>
  <c r="C42" i="1" l="1"/>
  <c r="C71" i="1" s="1"/>
</calcChain>
</file>

<file path=xl/sharedStrings.xml><?xml version="1.0" encoding="utf-8"?>
<sst xmlns="http://schemas.openxmlformats.org/spreadsheetml/2006/main" count="224" uniqueCount="157">
  <si>
    <t>LCB</t>
  </si>
  <si>
    <t>PC Dien thoai</t>
  </si>
  <si>
    <t>PC trach nhiem</t>
  </si>
  <si>
    <t>PC com</t>
  </si>
  <si>
    <t>chia cong chuan x so ngay huong luong</t>
  </si>
  <si>
    <t>Cong chuan</t>
  </si>
  <si>
    <t>Cong chinh</t>
  </si>
  <si>
    <t>Nghỉ phep hưởng lương</t>
  </si>
  <si>
    <t>Nghỉ phép không lương</t>
  </si>
  <si>
    <t>PC dien thoai</t>
  </si>
  <si>
    <t>Phu cap</t>
  </si>
  <si>
    <t>Tăng ca 150</t>
  </si>
  <si>
    <t>Tăng ca 200</t>
  </si>
  <si>
    <t>Tăng ca 270</t>
  </si>
  <si>
    <t>Tăng ca 300</t>
  </si>
  <si>
    <t>Lương tính tăng ca = LCB + PC trách nhiệm</t>
  </si>
  <si>
    <t>Tang ca</t>
  </si>
  <si>
    <t>Không tính thuế</t>
  </si>
  <si>
    <t>Tính thuế : Khoản cộng</t>
  </si>
  <si>
    <t>Tính thuế : Khoản trừ</t>
  </si>
  <si>
    <t>Không tính thuế: khoản cộng</t>
  </si>
  <si>
    <t>Không tính thuế: khoản trừ</t>
  </si>
  <si>
    <t>Thu nhập không cố định</t>
  </si>
  <si>
    <t>Khoan cong</t>
  </si>
  <si>
    <t>Khoan tru</t>
  </si>
  <si>
    <t>PCCD</t>
  </si>
  <si>
    <t>Phu cap ca đêm 30%</t>
  </si>
  <si>
    <t>PCCD 30%</t>
  </si>
  <si>
    <t>Tổng thu nhập</t>
  </si>
  <si>
    <t>chia cong chuan x so ngay huong luong ( miễn thuế)</t>
  </si>
  <si>
    <t>chia cong chuan x so ngay huong luong ( tính thuế)</t>
  </si>
  <si>
    <t>cu di lam 1 ngay la dc 25k ( miễn thuế tối đa 730k)</t>
  </si>
  <si>
    <t>Bảo hiểm công ty</t>
  </si>
  <si>
    <t>Xã hội: 8%</t>
  </si>
  <si>
    <t>Y tế: 1.5%</t>
  </si>
  <si>
    <t>Thất nghiệp: 1%</t>
  </si>
  <si>
    <t>Xã hội : 17.5%</t>
  </si>
  <si>
    <t>Y tế : 3%</t>
  </si>
  <si>
    <t>Loại nhân viên</t>
  </si>
  <si>
    <t>Nghỉ CN</t>
  </si>
  <si>
    <t>đi làm 2 thứ 7trong tháng</t>
  </si>
  <si>
    <t>nghỉ t7,cn</t>
  </si>
  <si>
    <t>Bảo hiểm nhân viên ( 10% ko tham gia)</t>
  </si>
  <si>
    <t>Công đoàn công ty 2%</t>
  </si>
  <si>
    <t>Công đoàn nhân viên
 (1% trên mức BHXH, 50k , 60k?)</t>
  </si>
  <si>
    <t>Thu nhập chịu thuế</t>
  </si>
  <si>
    <t>Giảm trừ bản thân</t>
  </si>
  <si>
    <t>Giảm trừ gia cảnh</t>
  </si>
  <si>
    <t>Thu nhập tính thuế</t>
  </si>
  <si>
    <t>Thuế TNCN</t>
  </si>
  <si>
    <t>THỰC NHẬN</t>
  </si>
  <si>
    <t>1.LCB</t>
  </si>
  <si>
    <t>10 = 1 + 2+ 3+ 4+ 5 - 6 - 7 - 8 + 9</t>
  </si>
  <si>
    <t>Nguồn dữ liệu(đầu vào)</t>
  </si>
  <si>
    <t>Đổ vô đâu ( đầu ra)</t>
  </si>
  <si>
    <t>tblSalaryHistory</t>
  </si>
  <si>
    <t>tblSal_Sal</t>
  </si>
  <si>
    <t>tblSal_Allowance</t>
  </si>
  <si>
    <t>tblSal_OT</t>
  </si>
  <si>
    <t>tblSal_NS</t>
  </si>
  <si>
    <t>tblSal_Adjustment</t>
  </si>
  <si>
    <t>tblSal_Sal ( TotalEarn)</t>
  </si>
  <si>
    <t>tblSal_Sal ( TaxableIncomeBeforeDeduction)</t>
  </si>
  <si>
    <t>tblSal_Insurance</t>
  </si>
  <si>
    <t>tblSal_Sal ( EmpUnion)</t>
  </si>
  <si>
    <t>tblSal_Sal ( CompUnion)</t>
  </si>
  <si>
    <t>tblSal_Tax</t>
  </si>
  <si>
    <t>tblSal_Tax (IncomeTaxable_)</t>
  </si>
  <si>
    <t>tblSal_Tax (TaxAmt)</t>
  </si>
  <si>
    <t>tblSal_Sal( GrossTakeHome)</t>
  </si>
  <si>
    <t>EMployeeID</t>
  </si>
  <si>
    <t>Date</t>
  </si>
  <si>
    <t>SalaryHistoryID</t>
  </si>
  <si>
    <t>VTS0001</t>
  </si>
  <si>
    <t>BasicSalary</t>
  </si>
  <si>
    <t>Code</t>
  </si>
  <si>
    <t>Amount</t>
  </si>
  <si>
    <t>SalCalRuleID</t>
  </si>
  <si>
    <t>18/11/2024</t>
  </si>
  <si>
    <t>Tính sau khi tính thuế vì điều chỉnh có thuế và không tính thuế</t>
  </si>
  <si>
    <t>số ngày làm &gt;= std-14</t>
  </si>
  <si>
    <t>Cong chinh + nghi tinh bao hiem</t>
  </si>
  <si>
    <t>al</t>
  </si>
  <si>
    <t>ngay nghi</t>
  </si>
  <si>
    <t>ngay nghi thuc te</t>
  </si>
  <si>
    <t>ngay nghi thuc te &gt;= ngay nghi thi k tham gia</t>
  </si>
  <si>
    <t>insert vo employeetype</t>
  </si>
  <si>
    <t>them menu loai nghi</t>
  </si>
  <si>
    <t xml:space="preserve">ngay lam trong trong hiredate va ngay thoi viec - 1 </t>
  </si>
  <si>
    <t>EmployeeInfor</t>
  </si>
  <si>
    <t>Thông tin nhân viên</t>
  </si>
  <si>
    <t>ORD</t>
  </si>
  <si>
    <t>STT</t>
  </si>
  <si>
    <t>EmployeeID</t>
  </si>
  <si>
    <t>Mã nhân viên</t>
  </si>
  <si>
    <t>FullName</t>
  </si>
  <si>
    <t>Tên nhân viên</t>
  </si>
  <si>
    <t>DepartmentName</t>
  </si>
  <si>
    <t>Phòng ban</t>
  </si>
  <si>
    <t>SectionName</t>
  </si>
  <si>
    <t>Bộ phận</t>
  </si>
  <si>
    <t>PostionName</t>
  </si>
  <si>
    <t>Chức vụ</t>
  </si>
  <si>
    <t>HireDate</t>
  </si>
  <si>
    <t>Ngày vào làm</t>
  </si>
  <si>
    <t>TerminateDate</t>
  </si>
  <si>
    <t>Ngày nghỉ việc</t>
  </si>
  <si>
    <t>SalaryInfor</t>
  </si>
  <si>
    <t>Thông tin lương</t>
  </si>
  <si>
    <t>Lương cơ bản</t>
  </si>
  <si>
    <t>PC chức vụ</t>
  </si>
  <si>
    <t>Responsibility</t>
  </si>
  <si>
    <t>PC Trách nhiệm</t>
  </si>
  <si>
    <t>….</t>
  </si>
  <si>
    <t>AttendanceInfor</t>
  </si>
  <si>
    <t>Dữ liệu công</t>
  </si>
  <si>
    <t>Công chuẩn</t>
  </si>
  <si>
    <t>StandardWDays</t>
  </si>
  <si>
    <t>Công hưởng lương</t>
  </si>
  <si>
    <t>sum(DaysOfSalEntry)</t>
  </si>
  <si>
    <t>LatestSalEntry  = 1</t>
  </si>
  <si>
    <t>OT21</t>
  </si>
  <si>
    <t>OT 150% (hours)</t>
  </si>
  <si>
    <t>OT_150h</t>
  </si>
  <si>
    <t>Postion_AL_Info</t>
  </si>
  <si>
    <t>select * from tblOvertimeSetting order by DayType, OvValue</t>
  </si>
  <si>
    <t>NS30</t>
  </si>
  <si>
    <t>Pc Ca đêm 30%</t>
  </si>
  <si>
    <t>ActualSalary</t>
  </si>
  <si>
    <t>ActualBasicSalary</t>
  </si>
  <si>
    <t>Postion_AL_Actual</t>
  </si>
  <si>
    <t>Responsibility_Actual</t>
  </si>
  <si>
    <t>Số giờ</t>
  </si>
  <si>
    <t>OvertimeAmount</t>
  </si>
  <si>
    <t>Số tiền</t>
  </si>
  <si>
    <t>Điều chỉnh (tính thuế)</t>
  </si>
  <si>
    <t>SIIncome</t>
  </si>
  <si>
    <t>UIIncome</t>
  </si>
  <si>
    <t>Tổng BH nhân viên</t>
  </si>
  <si>
    <t>Tổng Bh Công ty</t>
  </si>
  <si>
    <t>Tổng tất cả BH</t>
  </si>
  <si>
    <t>Công đoàn</t>
  </si>
  <si>
    <t>EmpUnion</t>
  </si>
  <si>
    <t>CompUnion</t>
  </si>
  <si>
    <t>Gross</t>
  </si>
  <si>
    <t>NET</t>
  </si>
  <si>
    <t>=-Bh - PIT</t>
  </si>
  <si>
    <t>GrossTakeHome -&gt; NetTakeHome</t>
  </si>
  <si>
    <t>ExportGroup</t>
  </si>
  <si>
    <t>ColumnList</t>
  </si>
  <si>
    <t>ORD,EMployeeID,FUllName</t>
  </si>
  <si>
    <t>SalaryInfo</t>
  </si>
  <si>
    <t>BasicSalary,</t>
  </si>
  <si>
    <t>x</t>
  </si>
  <si>
    <t>Lương bảo hiểm = LCB + PC xang xe</t>
  </si>
  <si>
    <t>tblOvertimeSetting</t>
  </si>
  <si>
    <t>tblOTList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</si>
</sst>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4" tint="0.39997558519241921"/>
      <name val="Calibri"/>
      <family val="2"/>
      <scheme val="minor"/>
    </font>
    <font>
      <b/>
      <sz val="9"/>
      <color rgb="FF7CACF8"/>
      <name val="Courier New"/>
      <family val="3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7">
    <xf numFmtId="0" fontId="0" fillId="0" borderId="0" xfId="0"/>
    <xf numFmtId="43" fontId="0" fillId="0" borderId="0" xfId="1" applyFont="1"/>
    <xf numFmtId="164" fontId="0" fillId="0" borderId="0" xfId="1" applyNumberFormat="1" applyFont="1"/>
    <xf numFmtId="43" fontId="0" fillId="0" borderId="0" xfId="0" applyNumberFormat="1"/>
    <xf numFmtId="0" fontId="0" fillId="2" borderId="0" xfId="0" applyFill="1"/>
    <xf numFmtId="0" fontId="0" fillId="0" borderId="0" xfId="0" applyAlignment="1">
      <alignment horizontal="center" vertical="center"/>
    </xf>
    <xf numFmtId="0" fontId="2" fillId="0" borderId="0" xfId="0" applyFont="1"/>
    <xf numFmtId="0" fontId="0" fillId="0" borderId="0" xfId="0" applyFill="1" applyAlignment="1">
      <alignment wrapText="1"/>
    </xf>
    <xf numFmtId="0" fontId="0" fillId="3" borderId="0" xfId="0" applyFill="1"/>
    <xf numFmtId="0" fontId="0" fillId="0" borderId="0" xfId="0" applyAlignment="1">
      <alignment vertical="center"/>
    </xf>
    <xf numFmtId="0" fontId="0" fillId="2" borderId="0" xfId="0" applyFill="1" applyAlignment="1">
      <alignment vertical="center"/>
    </xf>
    <xf numFmtId="0" fontId="0" fillId="0" borderId="0" xfId="0" quotePrefix="1"/>
    <xf numFmtId="14" fontId="0" fillId="0" borderId="0" xfId="0" applyNumberFormat="1"/>
    <xf numFmtId="0" fontId="3" fillId="4" borderId="0" xfId="0" applyFont="1" applyFill="1" applyAlignment="1">
      <alignment vertical="center"/>
    </xf>
    <xf numFmtId="0" fontId="3" fillId="4" borderId="0" xfId="0" applyFont="1" applyFill="1"/>
    <xf numFmtId="0" fontId="0" fillId="0" borderId="0" xfId="0" applyAlignment="1">
      <alignment vertical="center" wrapText="1"/>
    </xf>
    <xf numFmtId="14" fontId="0" fillId="2" borderId="0" xfId="0" applyNumberFormat="1" applyFill="1"/>
    <xf numFmtId="0" fontId="4" fillId="0" borderId="0" xfId="0" applyFont="1"/>
    <xf numFmtId="164" fontId="0" fillId="6" borderId="0" xfId="1" applyNumberFormat="1" applyFont="1" applyFill="1"/>
    <xf numFmtId="43" fontId="0" fillId="6" borderId="0" xfId="0" applyNumberFormat="1" applyFill="1"/>
    <xf numFmtId="43" fontId="0" fillId="6" borderId="0" xfId="1" applyFont="1" applyFill="1"/>
    <xf numFmtId="43" fontId="2" fillId="6" borderId="0" xfId="0" applyNumberFormat="1" applyFont="1" applyFill="1"/>
    <xf numFmtId="164" fontId="0" fillId="6" borderId="0" xfId="0" applyNumberFormat="1" applyFill="1"/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1A2DF-AFC0-4761-AEEB-958201C7D39B}">
  <dimension ref="A1:R72"/>
  <sheetViews>
    <sheetView tabSelected="1" topLeftCell="B1" workbookViewId="0">
      <selection activeCell="D13" sqref="D13"/>
    </sheetView>
  </sheetViews>
  <sheetFormatPr defaultRowHeight="15" x14ac:dyDescent="0.25"/>
  <cols>
    <col min="2" max="2" width="26.5703125" bestFit="1" customWidth="1"/>
    <col min="3" max="3" width="14.28515625" bestFit="1" customWidth="1"/>
    <col min="4" max="4" width="47.42578125" bestFit="1" customWidth="1"/>
    <col min="5" max="5" width="11.5703125" bestFit="1" customWidth="1"/>
    <col min="7" max="7" width="38.140625" bestFit="1" customWidth="1"/>
    <col min="8" max="8" width="9.7109375" bestFit="1" customWidth="1"/>
    <col min="12" max="12" width="23.42578125" bestFit="1" customWidth="1"/>
  </cols>
  <sheetData>
    <row r="1" spans="2:18" x14ac:dyDescent="0.25">
      <c r="B1" t="s">
        <v>0</v>
      </c>
      <c r="C1" s="2">
        <v>10000000</v>
      </c>
      <c r="D1" t="s">
        <v>4</v>
      </c>
      <c r="E1" s="5" t="s">
        <v>51</v>
      </c>
      <c r="G1" t="s">
        <v>15</v>
      </c>
    </row>
    <row r="2" spans="2:18" x14ac:dyDescent="0.25">
      <c r="B2" t="s">
        <v>9</v>
      </c>
      <c r="C2" s="1">
        <v>300000</v>
      </c>
      <c r="D2" t="s">
        <v>29</v>
      </c>
      <c r="E2" s="25" t="s">
        <v>10</v>
      </c>
      <c r="G2" s="2">
        <f>C1+C3</f>
        <v>10500000</v>
      </c>
    </row>
    <row r="3" spans="2:18" x14ac:dyDescent="0.25">
      <c r="B3" t="s">
        <v>2</v>
      </c>
      <c r="C3" s="1">
        <v>500000</v>
      </c>
      <c r="D3" t="s">
        <v>30</v>
      </c>
      <c r="E3" s="25"/>
      <c r="G3" t="s">
        <v>154</v>
      </c>
    </row>
    <row r="4" spans="2:18" x14ac:dyDescent="0.25">
      <c r="B4" t="s">
        <v>3</v>
      </c>
      <c r="C4" s="1">
        <v>50000</v>
      </c>
      <c r="D4" t="s">
        <v>31</v>
      </c>
      <c r="E4" s="25"/>
      <c r="G4" s="3">
        <f>C1+C2</f>
        <v>10300000</v>
      </c>
    </row>
    <row r="5" spans="2:18" x14ac:dyDescent="0.25">
      <c r="B5" t="s">
        <v>11</v>
      </c>
      <c r="C5" s="1">
        <v>5</v>
      </c>
      <c r="E5" s="23" t="s">
        <v>16</v>
      </c>
    </row>
    <row r="6" spans="2:18" x14ac:dyDescent="0.25">
      <c r="B6" t="s">
        <v>12</v>
      </c>
      <c r="C6" s="1">
        <v>3</v>
      </c>
      <c r="E6" s="23"/>
    </row>
    <row r="7" spans="2:18" x14ac:dyDescent="0.25">
      <c r="B7" t="s">
        <v>13</v>
      </c>
      <c r="C7" s="1">
        <v>4</v>
      </c>
      <c r="E7" s="23"/>
    </row>
    <row r="8" spans="2:18" x14ac:dyDescent="0.25">
      <c r="B8" t="s">
        <v>14</v>
      </c>
      <c r="C8" s="1">
        <v>1</v>
      </c>
      <c r="E8" s="23"/>
    </row>
    <row r="9" spans="2:18" x14ac:dyDescent="0.25">
      <c r="C9" s="1"/>
      <c r="E9" s="5"/>
      <c r="L9" t="s">
        <v>88</v>
      </c>
    </row>
    <row r="10" spans="2:18" x14ac:dyDescent="0.25">
      <c r="B10" s="6" t="s">
        <v>26</v>
      </c>
      <c r="C10" s="1">
        <v>20.5</v>
      </c>
      <c r="E10" s="5" t="s">
        <v>25</v>
      </c>
      <c r="F10" t="s">
        <v>17</v>
      </c>
    </row>
    <row r="11" spans="2:18" x14ac:dyDescent="0.25">
      <c r="C11" s="1"/>
      <c r="E11" s="5"/>
      <c r="Q11" t="s">
        <v>87</v>
      </c>
    </row>
    <row r="12" spans="2:18" ht="15" customHeight="1" x14ac:dyDescent="0.25">
      <c r="E12" s="15"/>
      <c r="L12" t="s">
        <v>80</v>
      </c>
      <c r="Q12">
        <v>10</v>
      </c>
    </row>
    <row r="13" spans="2:18" x14ac:dyDescent="0.25">
      <c r="E13" s="15"/>
      <c r="Q13">
        <v>1</v>
      </c>
    </row>
    <row r="14" spans="2:18" x14ac:dyDescent="0.25">
      <c r="E14" s="15"/>
      <c r="Q14">
        <v>1</v>
      </c>
    </row>
    <row r="15" spans="2:18" x14ac:dyDescent="0.25">
      <c r="B15" t="s">
        <v>18</v>
      </c>
      <c r="C15" s="2">
        <v>1000000</v>
      </c>
      <c r="E15" s="26" t="s">
        <v>22</v>
      </c>
      <c r="K15" t="s">
        <v>38</v>
      </c>
      <c r="O15" t="s">
        <v>86</v>
      </c>
      <c r="Q15" t="s">
        <v>81</v>
      </c>
    </row>
    <row r="16" spans="2:18" x14ac:dyDescent="0.25">
      <c r="B16" t="s">
        <v>19</v>
      </c>
      <c r="C16" s="1">
        <v>200000</v>
      </c>
      <c r="E16" s="26"/>
      <c r="K16">
        <v>26</v>
      </c>
      <c r="L16" t="s">
        <v>39</v>
      </c>
      <c r="M16" s="4">
        <f>K16-14</f>
        <v>12</v>
      </c>
      <c r="O16">
        <v>14</v>
      </c>
      <c r="P16">
        <v>27</v>
      </c>
      <c r="Q16" s="4">
        <v>12</v>
      </c>
      <c r="R16">
        <f>P16-Q16</f>
        <v>15</v>
      </c>
    </row>
    <row r="17" spans="1:18" x14ac:dyDescent="0.25">
      <c r="E17" s="26"/>
      <c r="K17">
        <v>24</v>
      </c>
      <c r="L17" t="s">
        <v>40</v>
      </c>
      <c r="M17" s="4">
        <f t="shared" ref="M17:M18" si="0">K17-14</f>
        <v>10</v>
      </c>
      <c r="O17">
        <v>13</v>
      </c>
      <c r="P17">
        <v>25</v>
      </c>
      <c r="Q17">
        <v>17</v>
      </c>
      <c r="R17">
        <f t="shared" ref="R17:R18" si="1">P17-Q17</f>
        <v>8</v>
      </c>
    </row>
    <row r="18" spans="1:18" x14ac:dyDescent="0.25">
      <c r="B18" t="s">
        <v>20</v>
      </c>
      <c r="C18" s="2">
        <v>500000</v>
      </c>
      <c r="E18" s="26"/>
      <c r="K18">
        <v>22</v>
      </c>
      <c r="L18" t="s">
        <v>41</v>
      </c>
      <c r="M18" s="4">
        <f t="shared" si="0"/>
        <v>8</v>
      </c>
      <c r="O18">
        <v>12</v>
      </c>
      <c r="P18">
        <v>22</v>
      </c>
      <c r="Q18">
        <v>8</v>
      </c>
      <c r="R18">
        <f t="shared" si="1"/>
        <v>14</v>
      </c>
    </row>
    <row r="19" spans="1:18" x14ac:dyDescent="0.25">
      <c r="B19" t="s">
        <v>21</v>
      </c>
      <c r="C19" s="2">
        <v>450000</v>
      </c>
      <c r="E19" s="26"/>
      <c r="O19" t="s">
        <v>83</v>
      </c>
      <c r="R19" t="s">
        <v>84</v>
      </c>
    </row>
    <row r="20" spans="1:18" s="4" customFormat="1" x14ac:dyDescent="0.25">
      <c r="O20" s="4" t="s">
        <v>85</v>
      </c>
    </row>
    <row r="21" spans="1:18" x14ac:dyDescent="0.25">
      <c r="B21" t="s">
        <v>5</v>
      </c>
      <c r="C21" s="1">
        <v>27</v>
      </c>
    </row>
    <row r="22" spans="1:18" x14ac:dyDescent="0.25">
      <c r="B22" t="s">
        <v>6</v>
      </c>
      <c r="C22" s="1">
        <v>26</v>
      </c>
    </row>
    <row r="23" spans="1:18" x14ac:dyDescent="0.25">
      <c r="B23" t="s">
        <v>7</v>
      </c>
      <c r="C23" s="1">
        <v>1</v>
      </c>
    </row>
    <row r="24" spans="1:18" x14ac:dyDescent="0.25">
      <c r="B24" t="s">
        <v>8</v>
      </c>
      <c r="C24" s="1">
        <v>0</v>
      </c>
    </row>
    <row r="25" spans="1:18" x14ac:dyDescent="0.25">
      <c r="G25" t="s">
        <v>53</v>
      </c>
      <c r="H25" t="s">
        <v>54</v>
      </c>
    </row>
    <row r="26" spans="1:18" s="8" customFormat="1" x14ac:dyDescent="0.25"/>
    <row r="27" spans="1:18" x14ac:dyDescent="0.25">
      <c r="A27" s="9">
        <v>1</v>
      </c>
      <c r="B27" t="s">
        <v>0</v>
      </c>
      <c r="C27" s="19">
        <f>C1/C21*(C22+C23)</f>
        <v>10000000</v>
      </c>
      <c r="G27" t="s">
        <v>55</v>
      </c>
      <c r="H27" t="s">
        <v>56</v>
      </c>
    </row>
    <row r="28" spans="1:18" x14ac:dyDescent="0.25">
      <c r="A28" s="23">
        <v>2</v>
      </c>
      <c r="B28" t="s">
        <v>9</v>
      </c>
      <c r="C28" s="19">
        <f>C2/C21*(C22+C23)</f>
        <v>300000</v>
      </c>
      <c r="H28" t="s">
        <v>57</v>
      </c>
    </row>
    <row r="29" spans="1:18" x14ac:dyDescent="0.25">
      <c r="A29" s="23"/>
      <c r="B29" t="s">
        <v>2</v>
      </c>
      <c r="C29" s="19">
        <f>C3/C21*(C22+C23)</f>
        <v>500000</v>
      </c>
    </row>
    <row r="30" spans="1:18" x14ac:dyDescent="0.25">
      <c r="A30" s="23"/>
      <c r="B30" t="s">
        <v>3</v>
      </c>
      <c r="C30" s="20">
        <f>C22*C4</f>
        <v>1300000</v>
      </c>
      <c r="D30">
        <f>IF(C30&lt;=730000,0,C30-730000)</f>
        <v>570000</v>
      </c>
    </row>
    <row r="31" spans="1:18" x14ac:dyDescent="0.25">
      <c r="A31" s="9"/>
      <c r="H31" t="s">
        <v>58</v>
      </c>
    </row>
    <row r="32" spans="1:18" x14ac:dyDescent="0.25">
      <c r="A32" s="23">
        <v>3</v>
      </c>
      <c r="B32" t="s">
        <v>11</v>
      </c>
      <c r="C32" s="20">
        <f>ROUND(($G$2/$C$21/8)*C5*70%,0)</f>
        <v>170139</v>
      </c>
      <c r="D32" s="1">
        <f>($G$2/$C$21/8)*C5</f>
        <v>243055.55555555556</v>
      </c>
      <c r="E32" s="3">
        <f>($G$2/$C$21/8)*C5*50%</f>
        <v>121527.77777777778</v>
      </c>
      <c r="G32" t="s">
        <v>155</v>
      </c>
    </row>
    <row r="33" spans="1:18" x14ac:dyDescent="0.25">
      <c r="A33" s="23"/>
      <c r="B33" t="s">
        <v>12</v>
      </c>
      <c r="C33" s="20">
        <f>($G$2/$C$21/8)*C6*200%</f>
        <v>291666.66666666663</v>
      </c>
      <c r="D33" s="1">
        <f>($G$2/$C$21/8)*C6</f>
        <v>145833.33333333331</v>
      </c>
      <c r="E33" s="3">
        <f>($G$2/$C$21/8)*C6*100%</f>
        <v>145833.33333333331</v>
      </c>
      <c r="G33" t="s">
        <v>156</v>
      </c>
    </row>
    <row r="34" spans="1:18" x14ac:dyDescent="0.25">
      <c r="A34" s="23"/>
      <c r="B34" t="s">
        <v>13</v>
      </c>
      <c r="C34" s="20">
        <f>($G$2/$C$21/8)*C7*270%</f>
        <v>525000</v>
      </c>
      <c r="D34" s="1">
        <f>($G$2/$C$21/8)*C7</f>
        <v>194444.44444444444</v>
      </c>
      <c r="E34" s="3">
        <f>($G$2/$C$21/8)*C7*170%</f>
        <v>330555.55555555556</v>
      </c>
    </row>
    <row r="35" spans="1:18" x14ac:dyDescent="0.25">
      <c r="A35" s="23"/>
      <c r="B35" t="s">
        <v>14</v>
      </c>
      <c r="C35" s="20">
        <f>($G$2/$C$21/8)*C8*300%</f>
        <v>145833.33333333331</v>
      </c>
      <c r="D35" s="1">
        <f>($G$2/$C$21/8)*C8</f>
        <v>48611.111111111109</v>
      </c>
      <c r="E35" s="3">
        <f>($G$2/$C$21/8)*C8*100%</f>
        <v>48611.111111111109</v>
      </c>
    </row>
    <row r="36" spans="1:18" x14ac:dyDescent="0.25">
      <c r="A36" s="9"/>
    </row>
    <row r="37" spans="1:18" x14ac:dyDescent="0.25">
      <c r="A37" s="9">
        <v>4</v>
      </c>
      <c r="B37" t="s">
        <v>27</v>
      </c>
      <c r="C37" s="21">
        <f>($G$2/$C$21/8)*C10*30%</f>
        <v>298958.33333333331</v>
      </c>
      <c r="H37" t="s">
        <v>59</v>
      </c>
    </row>
    <row r="38" spans="1:18" x14ac:dyDescent="0.25">
      <c r="A38" s="23">
        <v>5</v>
      </c>
      <c r="B38" t="s">
        <v>23</v>
      </c>
      <c r="C38" s="22">
        <f>C15</f>
        <v>1000000</v>
      </c>
      <c r="H38" t="s">
        <v>60</v>
      </c>
    </row>
    <row r="39" spans="1:18" x14ac:dyDescent="0.25">
      <c r="A39" s="23"/>
      <c r="B39" t="s">
        <v>24</v>
      </c>
      <c r="C39" s="19">
        <f xml:space="preserve"> -C16</f>
        <v>-200000</v>
      </c>
    </row>
    <row r="40" spans="1:18" x14ac:dyDescent="0.25">
      <c r="A40" s="13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</row>
    <row r="41" spans="1:18" x14ac:dyDescent="0.25">
      <c r="A41" s="9"/>
    </row>
    <row r="42" spans="1:18" x14ac:dyDescent="0.25">
      <c r="A42" s="9"/>
      <c r="B42" t="s">
        <v>28</v>
      </c>
      <c r="C42" s="19">
        <f>SUM(C27:C39)</f>
        <v>14331597.333333334</v>
      </c>
    </row>
    <row r="43" spans="1:18" x14ac:dyDescent="0.25">
      <c r="A43" s="9"/>
      <c r="B43" t="s">
        <v>45</v>
      </c>
      <c r="C43" s="19">
        <f>C27+C29+IF(C30&lt;=730000,0,C30-730000)+SUM(D32:D35)+C38+C39</f>
        <v>12501944.444444444</v>
      </c>
      <c r="H43" t="s">
        <v>61</v>
      </c>
    </row>
    <row r="44" spans="1:18" x14ac:dyDescent="0.25">
      <c r="A44" s="9"/>
      <c r="H44" t="s">
        <v>62</v>
      </c>
    </row>
    <row r="45" spans="1:18" x14ac:dyDescent="0.25">
      <c r="A45" s="9"/>
      <c r="B45" t="s">
        <v>42</v>
      </c>
      <c r="H45" t="s">
        <v>63</v>
      </c>
    </row>
    <row r="46" spans="1:18" x14ac:dyDescent="0.25">
      <c r="A46" s="23">
        <v>6</v>
      </c>
      <c r="B46" t="s">
        <v>33</v>
      </c>
      <c r="C46" s="19">
        <f>G4*8%</f>
        <v>824000</v>
      </c>
    </row>
    <row r="47" spans="1:18" x14ac:dyDescent="0.25">
      <c r="A47" s="23"/>
      <c r="B47" t="s">
        <v>34</v>
      </c>
      <c r="C47" s="19">
        <f>$G$4*1.5%</f>
        <v>154500</v>
      </c>
    </row>
    <row r="48" spans="1:18" x14ac:dyDescent="0.25">
      <c r="A48" s="23"/>
      <c r="B48" t="s">
        <v>35</v>
      </c>
      <c r="C48" s="19">
        <f>$G$4*1%</f>
        <v>103000</v>
      </c>
    </row>
    <row r="49" spans="1:8" x14ac:dyDescent="0.25">
      <c r="A49" s="9"/>
    </row>
    <row r="50" spans="1:8" s="4" customFormat="1" x14ac:dyDescent="0.25">
      <c r="A50" s="10"/>
      <c r="B50" s="4" t="s">
        <v>32</v>
      </c>
    </row>
    <row r="51" spans="1:8" s="4" customFormat="1" x14ac:dyDescent="0.25">
      <c r="A51" s="10"/>
      <c r="B51" s="4" t="s">
        <v>36</v>
      </c>
      <c r="C51" s="19">
        <f>$G$4*17.5%</f>
        <v>1802500</v>
      </c>
    </row>
    <row r="52" spans="1:8" s="4" customFormat="1" x14ac:dyDescent="0.25">
      <c r="A52" s="10"/>
      <c r="B52" s="4" t="s">
        <v>37</v>
      </c>
      <c r="C52" s="19">
        <f>$G$4*3%</f>
        <v>309000</v>
      </c>
    </row>
    <row r="53" spans="1:8" s="4" customFormat="1" x14ac:dyDescent="0.25">
      <c r="A53" s="10"/>
      <c r="B53" s="4" t="s">
        <v>35</v>
      </c>
      <c r="C53" s="19">
        <f>$G$4*1%</f>
        <v>103000</v>
      </c>
    </row>
    <row r="54" spans="1:8" x14ac:dyDescent="0.25">
      <c r="A54" s="9"/>
    </row>
    <row r="55" spans="1:8" ht="45" x14ac:dyDescent="0.25">
      <c r="A55" s="9">
        <v>7</v>
      </c>
      <c r="B55" s="7" t="s">
        <v>44</v>
      </c>
      <c r="C55" s="19">
        <v>50000</v>
      </c>
      <c r="H55" t="s">
        <v>64</v>
      </c>
    </row>
    <row r="56" spans="1:8" x14ac:dyDescent="0.25">
      <c r="A56" s="9"/>
    </row>
    <row r="57" spans="1:8" x14ac:dyDescent="0.25">
      <c r="A57" s="9"/>
      <c r="B57" s="4" t="s">
        <v>43</v>
      </c>
      <c r="C57" s="19">
        <f>G4*2%</f>
        <v>206000</v>
      </c>
      <c r="H57" t="s">
        <v>65</v>
      </c>
    </row>
    <row r="58" spans="1:8" x14ac:dyDescent="0.25">
      <c r="A58" s="9"/>
    </row>
    <row r="59" spans="1:8" x14ac:dyDescent="0.25">
      <c r="A59" s="9"/>
      <c r="B59" t="s">
        <v>46</v>
      </c>
      <c r="C59">
        <v>11000000</v>
      </c>
    </row>
    <row r="60" spans="1:8" x14ac:dyDescent="0.25">
      <c r="A60" s="9"/>
      <c r="B60" t="s">
        <v>47</v>
      </c>
      <c r="H60" t="s">
        <v>66</v>
      </c>
    </row>
    <row r="61" spans="1:8" x14ac:dyDescent="0.25">
      <c r="A61" s="9"/>
    </row>
    <row r="62" spans="1:8" x14ac:dyDescent="0.25">
      <c r="A62" s="9"/>
    </row>
    <row r="63" spans="1:8" x14ac:dyDescent="0.25">
      <c r="A63" s="9"/>
      <c r="B63" t="s">
        <v>48</v>
      </c>
      <c r="C63" s="19">
        <f>C43-C59-C60-SUM(C46:C48)</f>
        <v>420444.44444444403</v>
      </c>
      <c r="H63" t="s">
        <v>67</v>
      </c>
    </row>
    <row r="64" spans="1:8" x14ac:dyDescent="0.25">
      <c r="A64" s="9">
        <v>8</v>
      </c>
      <c r="B64" t="s">
        <v>49</v>
      </c>
      <c r="C64" s="19">
        <f>C63*5%-0</f>
        <v>21022.222222222204</v>
      </c>
      <c r="H64" t="s">
        <v>68</v>
      </c>
    </row>
    <row r="65" spans="1:18" x14ac:dyDescent="0.25">
      <c r="A65" s="9"/>
    </row>
    <row r="66" spans="1:18" x14ac:dyDescent="0.25">
      <c r="A66" s="24" t="s">
        <v>79</v>
      </c>
      <c r="B66" s="24"/>
      <c r="C66" s="24"/>
      <c r="D66" s="24"/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4"/>
      <c r="P66" s="24"/>
      <c r="Q66" s="24"/>
      <c r="R66" s="24"/>
    </row>
    <row r="67" spans="1:18" x14ac:dyDescent="0.25">
      <c r="A67" s="23">
        <v>9</v>
      </c>
      <c r="B67" t="s">
        <v>20</v>
      </c>
      <c r="C67" s="18">
        <v>500000</v>
      </c>
      <c r="H67" t="s">
        <v>60</v>
      </c>
    </row>
    <row r="68" spans="1:18" x14ac:dyDescent="0.25">
      <c r="A68" s="23"/>
      <c r="B68" t="s">
        <v>21</v>
      </c>
      <c r="C68" s="18">
        <f>450000*-1</f>
        <v>-450000</v>
      </c>
    </row>
    <row r="70" spans="1:18" x14ac:dyDescent="0.25">
      <c r="H70" t="s">
        <v>69</v>
      </c>
    </row>
    <row r="71" spans="1:18" x14ac:dyDescent="0.25">
      <c r="A71">
        <v>10</v>
      </c>
      <c r="B71" t="s">
        <v>50</v>
      </c>
      <c r="C71" s="19">
        <f>C42-C64+C67+C68-SUM(C46:C48)-C55</f>
        <v>13229075.111111112</v>
      </c>
    </row>
    <row r="72" spans="1:18" x14ac:dyDescent="0.25">
      <c r="B72" s="11" t="s">
        <v>52</v>
      </c>
    </row>
  </sheetData>
  <mergeCells count="9">
    <mergeCell ref="A46:A48"/>
    <mergeCell ref="A67:A68"/>
    <mergeCell ref="A66:R66"/>
    <mergeCell ref="E2:E4"/>
    <mergeCell ref="E5:E8"/>
    <mergeCell ref="A28:A30"/>
    <mergeCell ref="A32:A35"/>
    <mergeCell ref="A38:A39"/>
    <mergeCell ref="E15:E19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10C3EC-CDD5-4AA6-B27D-372521DF4D8D}">
  <dimension ref="A1:Y77"/>
  <sheetViews>
    <sheetView topLeftCell="A55" workbookViewId="0">
      <selection activeCell="J75" sqref="J75"/>
    </sheetView>
  </sheetViews>
  <sheetFormatPr defaultRowHeight="15" x14ac:dyDescent="0.25"/>
  <cols>
    <col min="2" max="2" width="22.42578125" bestFit="1" customWidth="1"/>
    <col min="3" max="3" width="18.7109375" bestFit="1" customWidth="1"/>
    <col min="7" max="7" width="21.7109375" bestFit="1" customWidth="1"/>
  </cols>
  <sheetData>
    <row r="1" spans="1:25" x14ac:dyDescent="0.25">
      <c r="A1">
        <v>1</v>
      </c>
      <c r="B1" t="s">
        <v>89</v>
      </c>
      <c r="C1" t="s">
        <v>90</v>
      </c>
    </row>
    <row r="2" spans="1:25" x14ac:dyDescent="0.25">
      <c r="B2" t="s">
        <v>91</v>
      </c>
      <c r="C2" t="s">
        <v>92</v>
      </c>
    </row>
    <row r="3" spans="1:25" x14ac:dyDescent="0.25">
      <c r="B3" t="s">
        <v>93</v>
      </c>
      <c r="C3" t="s">
        <v>94</v>
      </c>
    </row>
    <row r="4" spans="1:25" x14ac:dyDescent="0.25">
      <c r="B4" t="s">
        <v>95</v>
      </c>
      <c r="C4" t="s">
        <v>96</v>
      </c>
      <c r="M4" t="s">
        <v>91</v>
      </c>
      <c r="O4" t="s">
        <v>95</v>
      </c>
      <c r="P4" t="s">
        <v>97</v>
      </c>
      <c r="R4" t="s">
        <v>74</v>
      </c>
      <c r="S4" t="s">
        <v>124</v>
      </c>
      <c r="T4" t="s">
        <v>111</v>
      </c>
      <c r="V4" t="s">
        <v>129</v>
      </c>
      <c r="W4" t="s">
        <v>130</v>
      </c>
      <c r="Y4" t="s">
        <v>93</v>
      </c>
    </row>
    <row r="5" spans="1:25" x14ac:dyDescent="0.25">
      <c r="B5" t="s">
        <v>97</v>
      </c>
      <c r="C5" t="s">
        <v>98</v>
      </c>
      <c r="M5">
        <v>1</v>
      </c>
    </row>
    <row r="6" spans="1:25" x14ac:dyDescent="0.25">
      <c r="B6" t="s">
        <v>99</v>
      </c>
      <c r="C6" t="s">
        <v>100</v>
      </c>
      <c r="M6">
        <v>2</v>
      </c>
    </row>
    <row r="7" spans="1:25" x14ac:dyDescent="0.25">
      <c r="B7" t="s">
        <v>101</v>
      </c>
      <c r="C7" t="s">
        <v>102</v>
      </c>
      <c r="M7">
        <v>3</v>
      </c>
    </row>
    <row r="8" spans="1:25" x14ac:dyDescent="0.25">
      <c r="B8" t="s">
        <v>103</v>
      </c>
      <c r="C8" t="s">
        <v>104</v>
      </c>
      <c r="M8">
        <v>4</v>
      </c>
    </row>
    <row r="9" spans="1:25" x14ac:dyDescent="0.25">
      <c r="B9" t="s">
        <v>105</v>
      </c>
      <c r="C9" t="s">
        <v>106</v>
      </c>
    </row>
    <row r="11" spans="1:25" x14ac:dyDescent="0.25">
      <c r="A11">
        <v>2</v>
      </c>
      <c r="B11" t="s">
        <v>107</v>
      </c>
      <c r="C11" t="s">
        <v>108</v>
      </c>
    </row>
    <row r="12" spans="1:25" x14ac:dyDescent="0.25">
      <c r="B12" t="s">
        <v>74</v>
      </c>
      <c r="C12" t="s">
        <v>109</v>
      </c>
      <c r="D12">
        <v>10000000</v>
      </c>
    </row>
    <row r="13" spans="1:25" x14ac:dyDescent="0.25">
      <c r="B13" t="s">
        <v>124</v>
      </c>
      <c r="C13" t="s">
        <v>110</v>
      </c>
    </row>
    <row r="14" spans="1:25" x14ac:dyDescent="0.25">
      <c r="B14" t="s">
        <v>111</v>
      </c>
      <c r="C14" t="s">
        <v>112</v>
      </c>
    </row>
    <row r="15" spans="1:25" x14ac:dyDescent="0.25">
      <c r="B15" t="s">
        <v>113</v>
      </c>
      <c r="C15" t="s">
        <v>113</v>
      </c>
    </row>
    <row r="17" spans="1:16" x14ac:dyDescent="0.25">
      <c r="A17">
        <v>3</v>
      </c>
      <c r="B17" t="s">
        <v>114</v>
      </c>
      <c r="C17" t="s">
        <v>115</v>
      </c>
    </row>
    <row r="18" spans="1:16" x14ac:dyDescent="0.25">
      <c r="B18" s="17" t="s">
        <v>117</v>
      </c>
      <c r="C18" t="s">
        <v>116</v>
      </c>
      <c r="D18" t="s">
        <v>120</v>
      </c>
    </row>
    <row r="19" spans="1:16" x14ac:dyDescent="0.25">
      <c r="B19" t="s">
        <v>118</v>
      </c>
      <c r="C19" s="17" t="s">
        <v>119</v>
      </c>
    </row>
    <row r="20" spans="1:16" x14ac:dyDescent="0.25">
      <c r="A20" s="25" t="s">
        <v>132</v>
      </c>
      <c r="B20" t="s">
        <v>123</v>
      </c>
      <c r="C20" t="s">
        <v>122</v>
      </c>
      <c r="E20" t="s">
        <v>125</v>
      </c>
    </row>
    <row r="21" spans="1:16" x14ac:dyDescent="0.25">
      <c r="A21" s="25"/>
      <c r="B21" t="s">
        <v>121</v>
      </c>
    </row>
    <row r="22" spans="1:16" x14ac:dyDescent="0.25">
      <c r="A22" s="25"/>
      <c r="B22" t="s">
        <v>113</v>
      </c>
      <c r="N22" t="s">
        <v>148</v>
      </c>
      <c r="P22" t="s">
        <v>89</v>
      </c>
    </row>
    <row r="23" spans="1:16" x14ac:dyDescent="0.25">
      <c r="A23" s="25"/>
      <c r="B23" t="s">
        <v>113</v>
      </c>
      <c r="N23" t="s">
        <v>149</v>
      </c>
      <c r="P23" t="s">
        <v>150</v>
      </c>
    </row>
    <row r="24" spans="1:16" x14ac:dyDescent="0.25">
      <c r="B24" t="s">
        <v>126</v>
      </c>
      <c r="C24" t="s">
        <v>127</v>
      </c>
    </row>
    <row r="25" spans="1:16" x14ac:dyDescent="0.25">
      <c r="P25" t="s">
        <v>151</v>
      </c>
    </row>
    <row r="26" spans="1:16" x14ac:dyDescent="0.25">
      <c r="A26">
        <v>4</v>
      </c>
      <c r="B26" t="s">
        <v>128</v>
      </c>
      <c r="P26" t="s">
        <v>152</v>
      </c>
    </row>
    <row r="27" spans="1:16" x14ac:dyDescent="0.25">
      <c r="B27" t="s">
        <v>129</v>
      </c>
    </row>
    <row r="28" spans="1:16" x14ac:dyDescent="0.25">
      <c r="B28" t="s">
        <v>130</v>
      </c>
    </row>
    <row r="29" spans="1:16" x14ac:dyDescent="0.25">
      <c r="B29" t="s">
        <v>131</v>
      </c>
    </row>
    <row r="30" spans="1:16" x14ac:dyDescent="0.25">
      <c r="B30" t="s">
        <v>113</v>
      </c>
    </row>
    <row r="32" spans="1:16" x14ac:dyDescent="0.25">
      <c r="A32">
        <v>5</v>
      </c>
      <c r="B32" t="s">
        <v>133</v>
      </c>
    </row>
    <row r="33" spans="1:2" x14ac:dyDescent="0.25">
      <c r="A33" s="25" t="s">
        <v>134</v>
      </c>
      <c r="B33" t="s">
        <v>123</v>
      </c>
    </row>
    <row r="34" spans="1:2" x14ac:dyDescent="0.25">
      <c r="A34" s="25"/>
      <c r="B34" t="s">
        <v>121</v>
      </c>
    </row>
    <row r="35" spans="1:2" x14ac:dyDescent="0.25">
      <c r="A35" s="25"/>
      <c r="B35" t="s">
        <v>113</v>
      </c>
    </row>
    <row r="36" spans="1:2" x14ac:dyDescent="0.25">
      <c r="A36" s="25"/>
      <c r="B36" t="s">
        <v>113</v>
      </c>
    </row>
    <row r="37" spans="1:2" x14ac:dyDescent="0.25">
      <c r="A37" s="25"/>
      <c r="B37" t="s">
        <v>126</v>
      </c>
    </row>
    <row r="39" spans="1:2" x14ac:dyDescent="0.25">
      <c r="A39">
        <v>6</v>
      </c>
      <c r="B39" t="s">
        <v>135</v>
      </c>
    </row>
    <row r="40" spans="1:2" x14ac:dyDescent="0.25">
      <c r="B40" t="s">
        <v>18</v>
      </c>
    </row>
    <row r="41" spans="1:2" x14ac:dyDescent="0.25">
      <c r="B41" t="s">
        <v>19</v>
      </c>
    </row>
    <row r="43" spans="1:2" x14ac:dyDescent="0.25">
      <c r="A43">
        <v>7</v>
      </c>
      <c r="B43" t="s">
        <v>28</v>
      </c>
    </row>
    <row r="44" spans="1:2" x14ac:dyDescent="0.25">
      <c r="B44" t="s">
        <v>45</v>
      </c>
    </row>
    <row r="46" spans="1:2" x14ac:dyDescent="0.25">
      <c r="A46">
        <v>8</v>
      </c>
      <c r="B46" t="s">
        <v>136</v>
      </c>
    </row>
    <row r="47" spans="1:2" x14ac:dyDescent="0.25">
      <c r="B47" t="s">
        <v>137</v>
      </c>
    </row>
    <row r="48" spans="1:2" x14ac:dyDescent="0.25">
      <c r="B48" t="s">
        <v>42</v>
      </c>
    </row>
    <row r="49" spans="1:2" x14ac:dyDescent="0.25">
      <c r="B49" t="s">
        <v>33</v>
      </c>
    </row>
    <row r="50" spans="1:2" x14ac:dyDescent="0.25">
      <c r="B50" t="s">
        <v>34</v>
      </c>
    </row>
    <row r="51" spans="1:2" x14ac:dyDescent="0.25">
      <c r="B51" t="s">
        <v>35</v>
      </c>
    </row>
    <row r="52" spans="1:2" x14ac:dyDescent="0.25">
      <c r="B52" t="s">
        <v>138</v>
      </c>
    </row>
    <row r="53" spans="1:2" x14ac:dyDescent="0.25">
      <c r="B53" s="4" t="s">
        <v>32</v>
      </c>
    </row>
    <row r="54" spans="1:2" x14ac:dyDescent="0.25">
      <c r="B54" s="4" t="s">
        <v>36</v>
      </c>
    </row>
    <row r="55" spans="1:2" x14ac:dyDescent="0.25">
      <c r="B55" s="4" t="s">
        <v>37</v>
      </c>
    </row>
    <row r="56" spans="1:2" x14ac:dyDescent="0.25">
      <c r="B56" s="4" t="s">
        <v>35</v>
      </c>
    </row>
    <row r="57" spans="1:2" x14ac:dyDescent="0.25">
      <c r="B57" s="4" t="s">
        <v>139</v>
      </c>
    </row>
    <row r="58" spans="1:2" x14ac:dyDescent="0.25">
      <c r="B58" s="4" t="s">
        <v>140</v>
      </c>
    </row>
    <row r="60" spans="1:2" x14ac:dyDescent="0.25">
      <c r="A60">
        <v>9</v>
      </c>
      <c r="B60" s="4" t="s">
        <v>141</v>
      </c>
    </row>
    <row r="61" spans="1:2" x14ac:dyDescent="0.25">
      <c r="B61" s="17" t="s">
        <v>142</v>
      </c>
    </row>
    <row r="62" spans="1:2" x14ac:dyDescent="0.25">
      <c r="B62" s="4" t="s">
        <v>143</v>
      </c>
    </row>
    <row r="64" spans="1:2" x14ac:dyDescent="0.25">
      <c r="A64">
        <v>10</v>
      </c>
      <c r="B64" t="s">
        <v>46</v>
      </c>
    </row>
    <row r="65" spans="1:6" x14ac:dyDescent="0.25">
      <c r="B65" t="s">
        <v>47</v>
      </c>
    </row>
    <row r="67" spans="1:6" x14ac:dyDescent="0.25">
      <c r="A67">
        <v>11</v>
      </c>
      <c r="B67" t="s">
        <v>48</v>
      </c>
    </row>
    <row r="68" spans="1:6" x14ac:dyDescent="0.25">
      <c r="B68" t="s">
        <v>49</v>
      </c>
    </row>
    <row r="70" spans="1:6" x14ac:dyDescent="0.25">
      <c r="A70">
        <v>12</v>
      </c>
      <c r="B70" t="s">
        <v>20</v>
      </c>
      <c r="D70" t="s">
        <v>153</v>
      </c>
    </row>
    <row r="71" spans="1:6" x14ac:dyDescent="0.25">
      <c r="B71" t="s">
        <v>21</v>
      </c>
      <c r="D71" t="s">
        <v>153</v>
      </c>
    </row>
    <row r="73" spans="1:6" x14ac:dyDescent="0.25">
      <c r="A73">
        <v>13</v>
      </c>
      <c r="B73" t="s">
        <v>147</v>
      </c>
      <c r="D73" t="s">
        <v>153</v>
      </c>
    </row>
    <row r="75" spans="1:6" x14ac:dyDescent="0.25">
      <c r="E75" t="s">
        <v>144</v>
      </c>
      <c r="F75" s="11" t="s">
        <v>146</v>
      </c>
    </row>
    <row r="77" spans="1:6" x14ac:dyDescent="0.25">
      <c r="E77" t="s">
        <v>145</v>
      </c>
    </row>
  </sheetData>
  <mergeCells count="2">
    <mergeCell ref="A20:A23"/>
    <mergeCell ref="A33:A3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02CFAD-7588-4FDC-B041-1F4AC2593450}">
  <dimension ref="A1"/>
  <sheetViews>
    <sheetView workbookViewId="0">
      <selection activeCell="A7" sqref="A7"/>
    </sheetView>
  </sheetViews>
  <sheetFormatPr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F852EC-BEBB-41F2-B2D4-5C713C7CEA3D}">
  <dimension ref="A4:B6"/>
  <sheetViews>
    <sheetView workbookViewId="0">
      <selection activeCell="B4" sqref="B4"/>
    </sheetView>
  </sheetViews>
  <sheetFormatPr defaultRowHeight="15" x14ac:dyDescent="0.25"/>
  <cols>
    <col min="1" max="1" width="9.7109375" bestFit="1" customWidth="1"/>
  </cols>
  <sheetData>
    <row r="4" spans="1:2" x14ac:dyDescent="0.25">
      <c r="A4" s="12">
        <v>45303</v>
      </c>
      <c r="B4">
        <v>8</v>
      </c>
    </row>
    <row r="5" spans="1:2" x14ac:dyDescent="0.25">
      <c r="A5" s="12">
        <v>45334</v>
      </c>
      <c r="B5" t="s">
        <v>82</v>
      </c>
    </row>
    <row r="6" spans="1:2" x14ac:dyDescent="0.25">
      <c r="A6" s="16">
        <v>45363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0A8937-B5D5-4F0D-9C32-EEEED298E829}">
  <dimension ref="A1:D25"/>
  <sheetViews>
    <sheetView workbookViewId="0">
      <selection activeCell="I30" sqref="I30"/>
    </sheetView>
  </sheetViews>
  <sheetFormatPr defaultRowHeight="15" x14ac:dyDescent="0.25"/>
  <cols>
    <col min="1" max="1" width="14.5703125" bestFit="1" customWidth="1"/>
    <col min="2" max="2" width="12.85546875" bestFit="1" customWidth="1"/>
    <col min="3" max="3" width="11.5703125" bestFit="1" customWidth="1"/>
  </cols>
  <sheetData>
    <row r="1" spans="1:4" x14ac:dyDescent="0.25">
      <c r="A1" t="s">
        <v>72</v>
      </c>
      <c r="B1">
        <v>999</v>
      </c>
    </row>
    <row r="2" spans="1:4" x14ac:dyDescent="0.25">
      <c r="A2" t="s">
        <v>70</v>
      </c>
      <c r="B2" t="s">
        <v>73</v>
      </c>
    </row>
    <row r="3" spans="1:4" x14ac:dyDescent="0.25">
      <c r="A3" t="s">
        <v>71</v>
      </c>
      <c r="B3" s="12">
        <v>45302</v>
      </c>
    </row>
    <row r="7" spans="1:4" x14ac:dyDescent="0.25">
      <c r="A7" t="s">
        <v>72</v>
      </c>
      <c r="B7" t="s">
        <v>75</v>
      </c>
      <c r="C7" t="s">
        <v>76</v>
      </c>
    </row>
    <row r="8" spans="1:4" x14ac:dyDescent="0.25">
      <c r="A8">
        <v>999</v>
      </c>
      <c r="B8" t="s">
        <v>74</v>
      </c>
      <c r="C8" s="2">
        <v>10000000</v>
      </c>
      <c r="D8">
        <v>15</v>
      </c>
    </row>
    <row r="9" spans="1:4" x14ac:dyDescent="0.25">
      <c r="A9">
        <v>999</v>
      </c>
      <c r="B9" t="s">
        <v>1</v>
      </c>
      <c r="C9" s="1">
        <v>300000</v>
      </c>
    </row>
    <row r="10" spans="1:4" x14ac:dyDescent="0.25">
      <c r="A10">
        <v>999</v>
      </c>
      <c r="B10" t="s">
        <v>2</v>
      </c>
      <c r="C10" s="1">
        <v>500000</v>
      </c>
    </row>
    <row r="11" spans="1:4" x14ac:dyDescent="0.25">
      <c r="A11">
        <v>999</v>
      </c>
      <c r="B11" t="s">
        <v>3</v>
      </c>
      <c r="C11">
        <v>50000</v>
      </c>
    </row>
    <row r="12" spans="1:4" x14ac:dyDescent="0.25">
      <c r="A12">
        <v>999</v>
      </c>
      <c r="B12" t="s">
        <v>77</v>
      </c>
      <c r="C12">
        <v>1</v>
      </c>
    </row>
    <row r="16" spans="1:4" x14ac:dyDescent="0.25">
      <c r="A16" t="s">
        <v>72</v>
      </c>
      <c r="B16">
        <v>1000</v>
      </c>
    </row>
    <row r="17" spans="1:4" x14ac:dyDescent="0.25">
      <c r="A17" t="s">
        <v>70</v>
      </c>
      <c r="B17" t="s">
        <v>73</v>
      </c>
    </row>
    <row r="18" spans="1:4" x14ac:dyDescent="0.25">
      <c r="A18" t="s">
        <v>71</v>
      </c>
      <c r="B18" s="12" t="s">
        <v>78</v>
      </c>
    </row>
    <row r="20" spans="1:4" x14ac:dyDescent="0.25">
      <c r="A20" t="s">
        <v>72</v>
      </c>
      <c r="B20" t="s">
        <v>75</v>
      </c>
      <c r="C20" t="s">
        <v>76</v>
      </c>
    </row>
    <row r="21" spans="1:4" x14ac:dyDescent="0.25">
      <c r="A21">
        <v>1000</v>
      </c>
      <c r="B21" t="s">
        <v>74</v>
      </c>
      <c r="C21" s="2">
        <v>12000000</v>
      </c>
      <c r="D21">
        <v>9</v>
      </c>
    </row>
    <row r="22" spans="1:4" x14ac:dyDescent="0.25">
      <c r="A22">
        <v>1000</v>
      </c>
      <c r="B22" t="s">
        <v>1</v>
      </c>
      <c r="C22" s="1">
        <v>400000</v>
      </c>
    </row>
    <row r="23" spans="1:4" x14ac:dyDescent="0.25">
      <c r="A23">
        <v>1000</v>
      </c>
      <c r="B23" t="s">
        <v>2</v>
      </c>
      <c r="C23" s="1">
        <v>500000</v>
      </c>
    </row>
    <row r="24" spans="1:4" x14ac:dyDescent="0.25">
      <c r="A24">
        <v>1000</v>
      </c>
      <c r="B24" t="s">
        <v>3</v>
      </c>
      <c r="C24">
        <v>50000</v>
      </c>
    </row>
    <row r="25" spans="1:4" x14ac:dyDescent="0.25">
      <c r="A25">
        <v>1000</v>
      </c>
      <c r="B25" t="s">
        <v>77</v>
      </c>
      <c r="C2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Sheet3</vt:lpstr>
      <vt:lpstr>Sheet4</vt:lpstr>
      <vt:lpstr>Sheet2</vt:lpstr>
      <vt:lpstr>tblSalaryHistory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vts44</dc:creator>
  <cp:lastModifiedBy>Hứa Vĩnh Đức</cp:lastModifiedBy>
  <dcterms:created xsi:type="dcterms:W3CDTF">2024-11-18T11:07:07Z</dcterms:created>
  <dcterms:modified xsi:type="dcterms:W3CDTF">2025-10-06T11:24:13Z</dcterms:modified>
</cp:coreProperties>
</file>